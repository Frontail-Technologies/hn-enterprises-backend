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HN ENTERPRISES\PKG-HN ENTERPRISES\PKG-BILL\RO-02 OF RA-04\LEGAL DOCUMENT\PF WAGES\"/>
    </mc:Choice>
  </mc:AlternateContent>
  <xr:revisionPtr revIDLastSave="0" documentId="13_ncr:1_{74CD1BAA-CACD-4968-88D1-35D5557B31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TENDANCE-MAY" sheetId="5" r:id="rId1"/>
    <sheet name="WAGES-MAY" sheetId="6" r:id="rId2"/>
  </sheets>
  <definedNames>
    <definedName name="_xlnm.Print_Area" localSheetId="0">'ATTENDANCE-MAY'!$A$1:$AJ$12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J12" i="6"/>
  <c r="AI12" i="5"/>
  <c r="D10" i="6"/>
  <c r="D11" i="6"/>
  <c r="J11" i="6"/>
  <c r="G11" i="6"/>
  <c r="J10" i="6"/>
  <c r="G10" i="6"/>
  <c r="J9" i="6"/>
  <c r="G9" i="6"/>
  <c r="D9" i="6"/>
  <c r="J8" i="6"/>
  <c r="G8" i="6"/>
  <c r="D8" i="6"/>
  <c r="J7" i="6"/>
  <c r="G7" i="6"/>
  <c r="D7" i="6"/>
  <c r="AI11" i="5"/>
  <c r="AI10" i="5"/>
  <c r="AI9" i="5"/>
  <c r="AI8" i="5"/>
  <c r="AI7" i="5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K12" i="6" l="1"/>
  <c r="K10" i="6"/>
  <c r="K8" i="6"/>
  <c r="K9" i="6"/>
  <c r="K7" i="6"/>
  <c r="K11" i="6"/>
</calcChain>
</file>

<file path=xl/sharedStrings.xml><?xml version="1.0" encoding="utf-8"?>
<sst xmlns="http://schemas.openxmlformats.org/spreadsheetml/2006/main" count="249" uniqueCount="46">
  <si>
    <t>MUSTER ROLL</t>
  </si>
  <si>
    <t xml:space="preserve">FORMAT OF ATTENDANCE REGISTER, </t>
  </si>
  <si>
    <t>PURBA BHARTI GAS PVT LTD.</t>
  </si>
  <si>
    <t>MONTH</t>
  </si>
  <si>
    <t>YEAR</t>
  </si>
  <si>
    <t>Sl. Number in EmPloyee register</t>
  </si>
  <si>
    <t>Name</t>
  </si>
  <si>
    <t>Place of work*</t>
  </si>
  <si>
    <t>Summary No. of Days</t>
  </si>
  <si>
    <t>DATE</t>
  </si>
  <si>
    <t>ASSAM</t>
  </si>
  <si>
    <t>FORMAT FOR WAGE REGISTER</t>
  </si>
  <si>
    <t>FORM B</t>
  </si>
  <si>
    <t>PURBA BHARATI GAS PVT LTD</t>
  </si>
  <si>
    <t>Sl. No. in
Employee register</t>
  </si>
  <si>
    <t xml:space="preserve">Category </t>
  </si>
  <si>
    <t>Rate of
Wage</t>
  </si>
  <si>
    <t>No. of Days
worked</t>
  </si>
  <si>
    <t>Basic</t>
  </si>
  <si>
    <t>Total</t>
  </si>
  <si>
    <t>Deducation</t>
  </si>
  <si>
    <t>Net
Payment</t>
  </si>
  <si>
    <t>PF</t>
  </si>
  <si>
    <t>ESIC</t>
  </si>
  <si>
    <t>Signature</t>
  </si>
  <si>
    <t>PRADIP KUMAR GOGOI</t>
  </si>
  <si>
    <t>P</t>
  </si>
  <si>
    <t>UNSKILLED</t>
  </si>
  <si>
    <t>SUNDAY</t>
  </si>
  <si>
    <t>MONDAY</t>
  </si>
  <si>
    <t>TUESDAY</t>
  </si>
  <si>
    <t>WEDNESDAY</t>
  </si>
  <si>
    <t>THURSDAY</t>
  </si>
  <si>
    <t>FRIDAY</t>
  </si>
  <si>
    <t>SATURDAY</t>
  </si>
  <si>
    <t>ASHIS GAUR</t>
  </si>
  <si>
    <t>BIPLAB SARKAR</t>
  </si>
  <si>
    <t>HARICHARAN BORO</t>
  </si>
  <si>
    <t>MANIK CARKAR SARKAR</t>
  </si>
  <si>
    <t>SK HASIBUR</t>
  </si>
  <si>
    <t>SKILLED</t>
  </si>
  <si>
    <t>HIGH SKILLED</t>
  </si>
  <si>
    <t>SAHNAWYAZ R MALLICK</t>
  </si>
  <si>
    <t>For the Period   MAY-26              From  01-05-2026 to 30-05-2026</t>
  </si>
  <si>
    <t>MAY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</si>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</sst>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1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/>
    <xf numFmtId="0" fontId="6" fillId="0" borderId="16" xfId="0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textRotation="90" wrapText="1"/>
    </xf>
    <xf numFmtId="0" fontId="10" fillId="0" borderId="0" xfId="0" applyFont="1"/>
    <xf numFmtId="0" fontId="0" fillId="0" borderId="19" xfId="0" applyBorder="1" applyAlignment="1">
      <alignment horizontal="center" vertical="center"/>
    </xf>
    <xf numFmtId="16" fontId="9" fillId="0" borderId="8" xfId="0" applyNumberFormat="1" applyFont="1" applyBorder="1" applyAlignment="1">
      <alignment horizontal="center" vertical="center" textRotation="90"/>
    </xf>
    <xf numFmtId="16" fontId="9" fillId="5" borderId="8" xfId="0" applyNumberFormat="1" applyFont="1" applyFill="1" applyBorder="1" applyAlignment="1">
      <alignment horizontal="center" vertical="center" textRotation="90"/>
    </xf>
    <xf numFmtId="0" fontId="11" fillId="0" borderId="0" xfId="0" applyFont="1"/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9" fillId="0" borderId="32" xfId="0" applyNumberFormat="1" applyFont="1" applyBorder="1" applyAlignment="1">
      <alignment horizontal="center" vertical="center" textRotation="90"/>
    </xf>
    <xf numFmtId="16" fontId="9" fillId="0" borderId="31" xfId="0" applyNumberFormat="1" applyFont="1" applyBorder="1" applyAlignment="1">
      <alignment horizontal="center" vertical="center" textRotation="90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37" xfId="0" applyBorder="1"/>
    <xf numFmtId="0" fontId="6" fillId="0" borderId="27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12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textRotation="255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textRotation="90"/>
    </xf>
    <xf numFmtId="0" fontId="6" fillId="5" borderId="16" xfId="0" applyFont="1" applyFill="1" applyBorder="1" applyAlignment="1">
      <alignment horizontal="center" vertical="center" textRotation="90"/>
    </xf>
    <xf numFmtId="0" fontId="6" fillId="5" borderId="19" xfId="0" applyFont="1" applyFill="1" applyBorder="1" applyAlignment="1">
      <alignment horizontal="center" vertical="center" textRotation="90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textRotation="90" wrapText="1"/>
    </xf>
    <xf numFmtId="0" fontId="9" fillId="0" borderId="28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" fontId="9" fillId="0" borderId="8" xfId="0" applyNumberFormat="1" applyFont="1" applyFill="1" applyBorder="1" applyAlignment="1">
      <alignment horizontal="center" vertical="center" textRotation="90"/>
    </xf>
    <xf numFmtId="0" fontId="6" fillId="0" borderId="27" xfId="0" applyFont="1" applyFill="1" applyBorder="1" applyAlignment="1">
      <alignment vertical="center" textRotation="255"/>
    </xf>
    <xf numFmtId="0" fontId="6" fillId="0" borderId="2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 textRotation="255"/>
    </xf>
    <xf numFmtId="0" fontId="6" fillId="0" borderId="16" xfId="0" applyFont="1" applyFill="1" applyBorder="1" applyAlignment="1">
      <alignment vertical="center"/>
    </xf>
    <xf numFmtId="0" fontId="6" fillId="0" borderId="19" xfId="0" applyFont="1" applyFill="1" applyBorder="1" applyAlignment="1">
      <alignment vertical="center" textRotation="255"/>
    </xf>
    <xf numFmtId="0" fontId="6" fillId="0" borderId="19" xfId="0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685800</xdr:colOff>
      <xdr:row>5</xdr:row>
      <xdr:rowOff>1533526</xdr:rowOff>
    </xdr:from>
    <xdr:to>
      <xdr:col>36</xdr:col>
      <xdr:colOff>9524</xdr:colOff>
      <xdr:row>10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3D26B4-C5BA-C67B-9D85-8D31C95A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0" y="4276726"/>
          <a:ext cx="2895599" cy="1609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219074</xdr:rowOff>
    </xdr:from>
    <xdr:to>
      <xdr:col>12</xdr:col>
      <xdr:colOff>57150</xdr:colOff>
      <xdr:row>10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9DFDF-2703-4078-BE62-4583CD6C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8100" y="1704974"/>
          <a:ext cx="1638300" cy="1323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362F-3110-4043-BBDD-963CEA00F243}">
  <dimension ref="A1:AJ12"/>
  <sheetViews>
    <sheetView zoomScaleNormal="100" workbookViewId="0">
      <selection activeCell="P14" sqref="P14"/>
    </sheetView>
  </sheetViews>
  <sheetFormatPr defaultRowHeight="15" x14ac:dyDescent="0.25"/>
  <cols>
    <col min="1" max="1" width="16.7109375" bestFit="1" customWidth="1"/>
    <col min="2" max="2" width="23.5703125" bestFit="1" customWidth="1"/>
    <col min="3" max="3" width="10" customWidth="1"/>
    <col min="4" max="34" width="3.7109375" customWidth="1"/>
    <col min="35" max="35" width="10.5703125" customWidth="1"/>
    <col min="36" max="36" width="43" customWidth="1"/>
  </cols>
  <sheetData>
    <row r="1" spans="1:36" ht="36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5"/>
    </row>
    <row r="2" spans="1:36" ht="29.25" thickBot="1" x14ac:dyDescent="0.3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8"/>
    </row>
    <row r="3" spans="1:36" ht="21.75" thickBot="1" x14ac:dyDescent="0.3">
      <c r="A3" s="59" t="s">
        <v>25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  <c r="O3" s="59" t="s">
        <v>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1"/>
    </row>
    <row r="4" spans="1:36" s="20" customFormat="1" ht="21.75" thickBot="1" x14ac:dyDescent="0.4">
      <c r="A4" s="62" t="s">
        <v>43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4"/>
      <c r="V4" s="65" t="s">
        <v>3</v>
      </c>
      <c r="W4" s="66"/>
      <c r="X4" s="66"/>
      <c r="Y4" s="67"/>
      <c r="Z4" s="65" t="s">
        <v>44</v>
      </c>
      <c r="AA4" s="66"/>
      <c r="AB4" s="66"/>
      <c r="AC4" s="68" t="s">
        <v>4</v>
      </c>
      <c r="AD4" s="69"/>
      <c r="AE4" s="70"/>
      <c r="AF4" s="68">
        <v>2026</v>
      </c>
      <c r="AG4" s="69"/>
      <c r="AH4" s="69"/>
      <c r="AI4" s="69"/>
      <c r="AJ4" s="70"/>
    </row>
    <row r="5" spans="1:36" s="16" customFormat="1" ht="107.25" customHeight="1" thickBot="1" x14ac:dyDescent="0.25">
      <c r="A5" s="45" t="s">
        <v>5</v>
      </c>
      <c r="B5" s="47" t="s">
        <v>6</v>
      </c>
      <c r="C5" s="40" t="s">
        <v>7</v>
      </c>
      <c r="D5" s="15" t="s">
        <v>33</v>
      </c>
      <c r="E5" s="15" t="s">
        <v>34</v>
      </c>
      <c r="F5" s="15" t="s">
        <v>28</v>
      </c>
      <c r="G5" s="15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5" t="s">
        <v>34</v>
      </c>
      <c r="M5" s="15" t="s">
        <v>28</v>
      </c>
      <c r="N5" s="15" t="s">
        <v>29</v>
      </c>
      <c r="O5" s="15" t="s">
        <v>30</v>
      </c>
      <c r="P5" s="15" t="s">
        <v>31</v>
      </c>
      <c r="Q5" s="15" t="s">
        <v>32</v>
      </c>
      <c r="R5" s="15" t="s">
        <v>33</v>
      </c>
      <c r="S5" s="15" t="s">
        <v>34</v>
      </c>
      <c r="T5" s="15" t="s">
        <v>28</v>
      </c>
      <c r="U5" s="15" t="s">
        <v>29</v>
      </c>
      <c r="V5" s="15" t="s">
        <v>30</v>
      </c>
      <c r="W5" s="15" t="s">
        <v>31</v>
      </c>
      <c r="X5" s="15" t="s">
        <v>32</v>
      </c>
      <c r="Y5" s="15" t="s">
        <v>33</v>
      </c>
      <c r="Z5" s="15" t="s">
        <v>34</v>
      </c>
      <c r="AA5" s="15" t="s">
        <v>28</v>
      </c>
      <c r="AB5" s="15" t="s">
        <v>29</v>
      </c>
      <c r="AC5" s="15" t="s">
        <v>30</v>
      </c>
      <c r="AD5" s="15" t="s">
        <v>31</v>
      </c>
      <c r="AE5" s="15" t="s">
        <v>32</v>
      </c>
      <c r="AF5" s="15" t="s">
        <v>33</v>
      </c>
      <c r="AG5" s="15" t="s">
        <v>34</v>
      </c>
      <c r="AH5" s="15"/>
      <c r="AI5" s="49" t="s">
        <v>8</v>
      </c>
      <c r="AJ5" s="51" t="s">
        <v>24</v>
      </c>
    </row>
    <row r="6" spans="1:36" s="16" customFormat="1" ht="123" customHeight="1" thickBot="1" x14ac:dyDescent="0.25">
      <c r="A6" s="46"/>
      <c r="B6" s="48"/>
      <c r="C6" s="41" t="s">
        <v>9</v>
      </c>
      <c r="D6" s="27">
        <f>DATEVALUE(_xlfn.CONCAT("1",Z4,AF4,))</f>
        <v>46143</v>
      </c>
      <c r="E6" s="18">
        <f>D6+1</f>
        <v>46144</v>
      </c>
      <c r="F6" s="19">
        <f t="shared" ref="F6:AG6" si="0">E6+1</f>
        <v>46145</v>
      </c>
      <c r="G6" s="18">
        <f t="shared" si="0"/>
        <v>46146</v>
      </c>
      <c r="H6" s="99">
        <f t="shared" si="0"/>
        <v>46147</v>
      </c>
      <c r="I6" s="18">
        <f t="shared" si="0"/>
        <v>46148</v>
      </c>
      <c r="J6" s="18">
        <f t="shared" si="0"/>
        <v>46149</v>
      </c>
      <c r="K6" s="28">
        <f t="shared" si="0"/>
        <v>46150</v>
      </c>
      <c r="L6" s="18">
        <f t="shared" si="0"/>
        <v>46151</v>
      </c>
      <c r="M6" s="19">
        <f t="shared" si="0"/>
        <v>46152</v>
      </c>
      <c r="N6" s="18">
        <f t="shared" si="0"/>
        <v>46153</v>
      </c>
      <c r="O6" s="99">
        <f t="shared" si="0"/>
        <v>46154</v>
      </c>
      <c r="P6" s="18">
        <f t="shared" si="0"/>
        <v>46155</v>
      </c>
      <c r="Q6" s="18">
        <f t="shared" si="0"/>
        <v>46156</v>
      </c>
      <c r="R6" s="28">
        <f t="shared" si="0"/>
        <v>46157</v>
      </c>
      <c r="S6" s="18">
        <f t="shared" si="0"/>
        <v>46158</v>
      </c>
      <c r="T6" s="19">
        <f t="shared" si="0"/>
        <v>46159</v>
      </c>
      <c r="U6" s="18">
        <f t="shared" si="0"/>
        <v>46160</v>
      </c>
      <c r="V6" s="99">
        <f t="shared" si="0"/>
        <v>46161</v>
      </c>
      <c r="W6" s="18">
        <f t="shared" si="0"/>
        <v>46162</v>
      </c>
      <c r="X6" s="18">
        <f t="shared" si="0"/>
        <v>46163</v>
      </c>
      <c r="Y6" s="28">
        <f t="shared" si="0"/>
        <v>46164</v>
      </c>
      <c r="Z6" s="18">
        <f t="shared" si="0"/>
        <v>46165</v>
      </c>
      <c r="AA6" s="19">
        <f t="shared" si="0"/>
        <v>46166</v>
      </c>
      <c r="AB6" s="18">
        <f t="shared" si="0"/>
        <v>46167</v>
      </c>
      <c r="AC6" s="99">
        <f t="shared" si="0"/>
        <v>46168</v>
      </c>
      <c r="AD6" s="18">
        <f t="shared" si="0"/>
        <v>46169</v>
      </c>
      <c r="AE6" s="18">
        <f t="shared" si="0"/>
        <v>46170</v>
      </c>
      <c r="AF6" s="18">
        <f t="shared" si="0"/>
        <v>46171</v>
      </c>
      <c r="AG6" s="18">
        <f t="shared" si="0"/>
        <v>46172</v>
      </c>
      <c r="AH6" s="18"/>
      <c r="AI6" s="50"/>
      <c r="AJ6" s="52"/>
    </row>
    <row r="7" spans="1:36" ht="30" customHeight="1" x14ac:dyDescent="0.25">
      <c r="A7" s="21">
        <v>1</v>
      </c>
      <c r="B7" s="38" t="s">
        <v>35</v>
      </c>
      <c r="C7" s="7" t="s">
        <v>10</v>
      </c>
      <c r="D7" s="34" t="s">
        <v>26</v>
      </c>
      <c r="E7" s="7" t="s">
        <v>26</v>
      </c>
      <c r="F7" s="42" t="s">
        <v>45</v>
      </c>
      <c r="G7" s="7" t="s">
        <v>26</v>
      </c>
      <c r="H7" s="100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42" t="s">
        <v>45</v>
      </c>
      <c r="N7" s="7" t="s">
        <v>26</v>
      </c>
      <c r="O7" s="101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42" t="s">
        <v>45</v>
      </c>
      <c r="U7" s="7" t="s">
        <v>26</v>
      </c>
      <c r="V7" s="101" t="s">
        <v>26</v>
      </c>
      <c r="W7" s="7" t="s">
        <v>26</v>
      </c>
      <c r="X7" s="7" t="s">
        <v>26</v>
      </c>
      <c r="Y7" s="7" t="s">
        <v>26</v>
      </c>
      <c r="Z7" s="7" t="s">
        <v>26</v>
      </c>
      <c r="AA7" s="42" t="s">
        <v>45</v>
      </c>
      <c r="AB7" s="7" t="s">
        <v>26</v>
      </c>
      <c r="AC7" s="101" t="s">
        <v>26</v>
      </c>
      <c r="AD7" s="7" t="s">
        <v>26</v>
      </c>
      <c r="AE7" s="7" t="s">
        <v>26</v>
      </c>
      <c r="AF7" s="7" t="s">
        <v>26</v>
      </c>
      <c r="AG7" s="7" t="s">
        <v>26</v>
      </c>
      <c r="AH7" s="9"/>
      <c r="AI7" s="29">
        <f>COUNTIF(D7:AH7,"P")</f>
        <v>26</v>
      </c>
      <c r="AJ7" s="24"/>
    </row>
    <row r="8" spans="1:36" ht="30" customHeight="1" x14ac:dyDescent="0.25">
      <c r="A8" s="22">
        <v>2</v>
      </c>
      <c r="B8" s="36" t="s">
        <v>36</v>
      </c>
      <c r="C8" s="4" t="s">
        <v>10</v>
      </c>
      <c r="D8" s="35" t="s">
        <v>26</v>
      </c>
      <c r="E8" s="4" t="s">
        <v>26</v>
      </c>
      <c r="F8" s="43"/>
      <c r="G8" s="4" t="s">
        <v>26</v>
      </c>
      <c r="H8" s="102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3"/>
      <c r="N8" s="4" t="s">
        <v>26</v>
      </c>
      <c r="O8" s="103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3"/>
      <c r="U8" s="4" t="s">
        <v>26</v>
      </c>
      <c r="V8" s="103" t="s">
        <v>26</v>
      </c>
      <c r="W8" s="4" t="s">
        <v>26</v>
      </c>
      <c r="X8" s="4" t="s">
        <v>26</v>
      </c>
      <c r="Y8" s="4" t="s">
        <v>26</v>
      </c>
      <c r="Z8" s="4" t="s">
        <v>26</v>
      </c>
      <c r="AA8" s="43"/>
      <c r="AB8" s="4" t="s">
        <v>26</v>
      </c>
      <c r="AC8" s="103" t="s">
        <v>26</v>
      </c>
      <c r="AD8" s="4" t="s">
        <v>26</v>
      </c>
      <c r="AE8" s="4" t="s">
        <v>26</v>
      </c>
      <c r="AF8" s="4" t="s">
        <v>26</v>
      </c>
      <c r="AG8" s="4" t="s">
        <v>26</v>
      </c>
      <c r="AH8" s="11"/>
      <c r="AI8" s="30">
        <f t="shared" ref="AI8:AI10" si="1">COUNTIF(D8:AH8,"P")</f>
        <v>26</v>
      </c>
      <c r="AJ8" s="25"/>
    </row>
    <row r="9" spans="1:36" ht="30" customHeight="1" x14ac:dyDescent="0.25">
      <c r="A9" s="22">
        <v>3</v>
      </c>
      <c r="B9" s="36" t="s">
        <v>37</v>
      </c>
      <c r="C9" s="4" t="s">
        <v>10</v>
      </c>
      <c r="D9" s="35" t="s">
        <v>26</v>
      </c>
      <c r="E9" s="4" t="s">
        <v>26</v>
      </c>
      <c r="F9" s="43"/>
      <c r="G9" s="4" t="s">
        <v>26</v>
      </c>
      <c r="H9" s="102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3"/>
      <c r="N9" s="4" t="s">
        <v>26</v>
      </c>
      <c r="O9" s="103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3"/>
      <c r="U9" s="4" t="s">
        <v>26</v>
      </c>
      <c r="V9" s="103" t="s">
        <v>26</v>
      </c>
      <c r="W9" s="4" t="s">
        <v>26</v>
      </c>
      <c r="X9" s="4" t="s">
        <v>26</v>
      </c>
      <c r="Y9" s="4" t="s">
        <v>26</v>
      </c>
      <c r="Z9" s="4" t="s">
        <v>26</v>
      </c>
      <c r="AA9" s="43"/>
      <c r="AB9" s="4" t="s">
        <v>26</v>
      </c>
      <c r="AC9" s="103" t="s">
        <v>26</v>
      </c>
      <c r="AD9" s="4" t="s">
        <v>26</v>
      </c>
      <c r="AE9" s="4" t="s">
        <v>26</v>
      </c>
      <c r="AF9" s="4" t="s">
        <v>26</v>
      </c>
      <c r="AG9" s="4" t="s">
        <v>26</v>
      </c>
      <c r="AH9" s="11"/>
      <c r="AI9" s="30">
        <f t="shared" si="1"/>
        <v>26</v>
      </c>
      <c r="AJ9" s="25"/>
    </row>
    <row r="10" spans="1:36" ht="30" customHeight="1" x14ac:dyDescent="0.25">
      <c r="A10" s="22">
        <v>4</v>
      </c>
      <c r="B10" s="37" t="s">
        <v>38</v>
      </c>
      <c r="C10" s="4" t="s">
        <v>10</v>
      </c>
      <c r="D10" s="35" t="s">
        <v>26</v>
      </c>
      <c r="E10" s="4" t="s">
        <v>26</v>
      </c>
      <c r="F10" s="43"/>
      <c r="G10" s="4" t="s">
        <v>26</v>
      </c>
      <c r="H10" s="102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3"/>
      <c r="N10" s="4" t="s">
        <v>26</v>
      </c>
      <c r="O10" s="103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3"/>
      <c r="U10" s="4" t="s">
        <v>26</v>
      </c>
      <c r="V10" s="103" t="s">
        <v>26</v>
      </c>
      <c r="W10" s="4" t="s">
        <v>26</v>
      </c>
      <c r="X10" s="4" t="s">
        <v>26</v>
      </c>
      <c r="Y10" s="4" t="s">
        <v>26</v>
      </c>
      <c r="Z10" s="4" t="s">
        <v>26</v>
      </c>
      <c r="AA10" s="43"/>
      <c r="AB10" s="4" t="s">
        <v>26</v>
      </c>
      <c r="AC10" s="103" t="s">
        <v>26</v>
      </c>
      <c r="AD10" s="4" t="s">
        <v>26</v>
      </c>
      <c r="AE10" s="4" t="s">
        <v>26</v>
      </c>
      <c r="AF10" s="4" t="s">
        <v>26</v>
      </c>
      <c r="AG10" s="4" t="s">
        <v>26</v>
      </c>
      <c r="AH10" s="11"/>
      <c r="AI10" s="30">
        <f t="shared" si="1"/>
        <v>26</v>
      </c>
      <c r="AJ10" s="25"/>
    </row>
    <row r="11" spans="1:36" ht="30" customHeight="1" x14ac:dyDescent="0.25">
      <c r="A11" s="22">
        <v>5</v>
      </c>
      <c r="B11" s="37" t="s">
        <v>39</v>
      </c>
      <c r="C11" s="4" t="s">
        <v>10</v>
      </c>
      <c r="D11" s="35" t="s">
        <v>26</v>
      </c>
      <c r="E11" s="4" t="s">
        <v>26</v>
      </c>
      <c r="F11" s="43"/>
      <c r="G11" s="4" t="s">
        <v>26</v>
      </c>
      <c r="H11" s="102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3"/>
      <c r="N11" s="4" t="s">
        <v>26</v>
      </c>
      <c r="O11" s="103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3"/>
      <c r="U11" s="4" t="s">
        <v>26</v>
      </c>
      <c r="V11" s="103" t="s">
        <v>26</v>
      </c>
      <c r="W11" s="4" t="s">
        <v>26</v>
      </c>
      <c r="X11" s="4" t="s">
        <v>26</v>
      </c>
      <c r="Y11" s="4" t="s">
        <v>26</v>
      </c>
      <c r="Z11" s="4" t="s">
        <v>26</v>
      </c>
      <c r="AA11" s="43"/>
      <c r="AB11" s="4" t="s">
        <v>26</v>
      </c>
      <c r="AC11" s="103" t="s">
        <v>26</v>
      </c>
      <c r="AD11" s="4" t="s">
        <v>26</v>
      </c>
      <c r="AE11" s="4" t="s">
        <v>26</v>
      </c>
      <c r="AF11" s="4" t="s">
        <v>26</v>
      </c>
      <c r="AG11" s="4" t="s">
        <v>26</v>
      </c>
      <c r="AH11" s="11"/>
      <c r="AI11" s="30">
        <f>COUNTIF(D11:AH11,"P")</f>
        <v>26</v>
      </c>
      <c r="AJ11" s="33"/>
    </row>
    <row r="12" spans="1:36" ht="30" customHeight="1" thickBot="1" x14ac:dyDescent="0.3">
      <c r="A12" s="23">
        <v>6</v>
      </c>
      <c r="B12" s="17" t="s">
        <v>42</v>
      </c>
      <c r="C12" s="12" t="s">
        <v>10</v>
      </c>
      <c r="D12" s="39" t="s">
        <v>26</v>
      </c>
      <c r="E12" s="39" t="s">
        <v>26</v>
      </c>
      <c r="F12" s="44"/>
      <c r="G12" s="39" t="s">
        <v>26</v>
      </c>
      <c r="H12" s="104" t="s">
        <v>26</v>
      </c>
      <c r="I12" s="39" t="s">
        <v>26</v>
      </c>
      <c r="J12" s="39" t="s">
        <v>26</v>
      </c>
      <c r="K12" s="39" t="s">
        <v>26</v>
      </c>
      <c r="L12" s="39" t="s">
        <v>26</v>
      </c>
      <c r="M12" s="44"/>
      <c r="N12" s="39" t="s">
        <v>26</v>
      </c>
      <c r="O12" s="105" t="s">
        <v>26</v>
      </c>
      <c r="P12" s="39" t="s">
        <v>26</v>
      </c>
      <c r="Q12" s="39" t="s">
        <v>26</v>
      </c>
      <c r="R12" s="39" t="s">
        <v>26</v>
      </c>
      <c r="S12" s="39" t="s">
        <v>26</v>
      </c>
      <c r="T12" s="44"/>
      <c r="U12" s="39" t="s">
        <v>26</v>
      </c>
      <c r="V12" s="105" t="s">
        <v>26</v>
      </c>
      <c r="W12" s="39" t="s">
        <v>26</v>
      </c>
      <c r="X12" s="39" t="s">
        <v>26</v>
      </c>
      <c r="Y12" s="39" t="s">
        <v>26</v>
      </c>
      <c r="Z12" s="39" t="s">
        <v>26</v>
      </c>
      <c r="AA12" s="44"/>
      <c r="AB12" s="39" t="s">
        <v>26</v>
      </c>
      <c r="AC12" s="105" t="s">
        <v>26</v>
      </c>
      <c r="AD12" s="39" t="s">
        <v>26</v>
      </c>
      <c r="AE12" s="39" t="s">
        <v>26</v>
      </c>
      <c r="AF12" s="39" t="s">
        <v>26</v>
      </c>
      <c r="AG12" s="39" t="s">
        <v>26</v>
      </c>
      <c r="AH12" s="106"/>
      <c r="AI12" s="31">
        <f>COUNTIF(D12:AH12,"P")</f>
        <v>26</v>
      </c>
      <c r="AJ12" s="26"/>
    </row>
  </sheetData>
  <mergeCells count="17">
    <mergeCell ref="AI5:AI6"/>
    <mergeCell ref="AJ5:AJ6"/>
    <mergeCell ref="A1:AJ1"/>
    <mergeCell ref="A2:AJ2"/>
    <mergeCell ref="A3:N3"/>
    <mergeCell ref="O3:AJ3"/>
    <mergeCell ref="A4:U4"/>
    <mergeCell ref="V4:Y4"/>
    <mergeCell ref="Z4:AB4"/>
    <mergeCell ref="AC4:AE4"/>
    <mergeCell ref="AF4:AJ4"/>
    <mergeCell ref="A5:A6"/>
    <mergeCell ref="B5:B6"/>
    <mergeCell ref="AA7:AA12"/>
    <mergeCell ref="T7:T12"/>
    <mergeCell ref="M7:M12"/>
    <mergeCell ref="F7:F12"/>
  </mergeCells>
  <phoneticPr fontId="13" type="noConversion"/>
  <pageMargins left="0.31496062992125984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4158-3E60-4AEB-826E-5DC6CB273317}">
  <dimension ref="A1:L12"/>
  <sheetViews>
    <sheetView tabSelected="1" workbookViewId="0">
      <selection activeCell="L20" sqref="L20"/>
    </sheetView>
  </sheetViews>
  <sheetFormatPr defaultRowHeight="15" x14ac:dyDescent="0.25"/>
  <cols>
    <col min="1" max="1" width="12.85546875" customWidth="1"/>
    <col min="2" max="2" width="22.5703125" customWidth="1"/>
    <col min="3" max="3" width="26.85546875" customWidth="1"/>
    <col min="4" max="4" width="13.85546875" customWidth="1"/>
    <col min="5" max="5" width="13.140625" customWidth="1"/>
    <col min="7" max="7" width="14.5703125" bestFit="1" customWidth="1"/>
    <col min="8" max="8" width="12.28515625" customWidth="1"/>
    <col min="9" max="9" width="10.140625" customWidth="1"/>
    <col min="10" max="10" width="15.85546875" customWidth="1"/>
    <col min="11" max="11" width="14.28515625" customWidth="1"/>
    <col min="12" max="12" width="23.7109375" customWidth="1"/>
  </cols>
  <sheetData>
    <row r="1" spans="1:12" ht="27" thickBot="1" x14ac:dyDescent="0.3">
      <c r="A1" s="84" t="s">
        <v>11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6"/>
    </row>
    <row r="2" spans="1:12" ht="27" thickBot="1" x14ac:dyDescent="0.3">
      <c r="A2" s="87" t="s">
        <v>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9"/>
    </row>
    <row r="3" spans="1:12" ht="27" thickBot="1" x14ac:dyDescent="0.3">
      <c r="A3" s="90" t="s">
        <v>25</v>
      </c>
      <c r="B3" s="91"/>
      <c r="C3" s="91"/>
      <c r="D3" s="91"/>
      <c r="E3" s="92"/>
      <c r="F3" s="93" t="s">
        <v>13</v>
      </c>
      <c r="G3" s="94"/>
      <c r="H3" s="94"/>
      <c r="I3" s="94"/>
      <c r="J3" s="94"/>
      <c r="K3" s="94"/>
      <c r="L3" s="95"/>
    </row>
    <row r="4" spans="1:12" s="3" customFormat="1" ht="16.5" thickBot="1" x14ac:dyDescent="0.3">
      <c r="A4" s="96" t="s">
        <v>43</v>
      </c>
      <c r="B4" s="97"/>
      <c r="C4" s="97"/>
      <c r="D4" s="97"/>
      <c r="E4" s="97"/>
      <c r="F4" s="98"/>
      <c r="G4" s="2" t="s">
        <v>3</v>
      </c>
      <c r="H4" s="96" t="s">
        <v>44</v>
      </c>
      <c r="I4" s="98"/>
      <c r="J4" s="2" t="s">
        <v>4</v>
      </c>
      <c r="K4" s="96">
        <v>2026</v>
      </c>
      <c r="L4" s="98"/>
    </row>
    <row r="5" spans="1:12" ht="19.5" x14ac:dyDescent="0.25">
      <c r="A5" s="76" t="s">
        <v>14</v>
      </c>
      <c r="B5" s="78" t="s">
        <v>6</v>
      </c>
      <c r="C5" s="80" t="s">
        <v>15</v>
      </c>
      <c r="D5" s="82" t="s">
        <v>16</v>
      </c>
      <c r="E5" s="73" t="s">
        <v>17</v>
      </c>
      <c r="F5" s="71" t="s">
        <v>18</v>
      </c>
      <c r="G5" s="71" t="s">
        <v>19</v>
      </c>
      <c r="H5" s="71" t="s">
        <v>20</v>
      </c>
      <c r="I5" s="71"/>
      <c r="J5" s="71"/>
      <c r="K5" s="73" t="s">
        <v>21</v>
      </c>
      <c r="L5" s="74" t="s">
        <v>24</v>
      </c>
    </row>
    <row r="6" spans="1:12" ht="20.25" thickBot="1" x14ac:dyDescent="0.3">
      <c r="A6" s="77"/>
      <c r="B6" s="79"/>
      <c r="C6" s="81"/>
      <c r="D6" s="83"/>
      <c r="E6" s="72"/>
      <c r="F6" s="72"/>
      <c r="G6" s="72"/>
      <c r="H6" s="1" t="s">
        <v>22</v>
      </c>
      <c r="I6" s="1" t="s">
        <v>23</v>
      </c>
      <c r="J6" s="1" t="s">
        <v>19</v>
      </c>
      <c r="K6" s="72"/>
      <c r="L6" s="75"/>
    </row>
    <row r="7" spans="1:12" ht="24.95" customHeight="1" x14ac:dyDescent="0.25">
      <c r="A7" s="6">
        <v>1</v>
      </c>
      <c r="B7" s="38" t="s">
        <v>35</v>
      </c>
      <c r="C7" s="7" t="s">
        <v>41</v>
      </c>
      <c r="D7" s="8">
        <f>F7/E7</f>
        <v>2307.6923076923076</v>
      </c>
      <c r="E7" s="7">
        <v>26</v>
      </c>
      <c r="F7" s="7">
        <v>60000</v>
      </c>
      <c r="G7" s="7">
        <f>SUM(F7:F7)</f>
        <v>60000</v>
      </c>
      <c r="H7" s="7">
        <v>1800</v>
      </c>
      <c r="I7" s="7">
        <v>0</v>
      </c>
      <c r="J7" s="7">
        <f>SUM(H7:I7)</f>
        <v>1800</v>
      </c>
      <c r="K7" s="9">
        <f>G7-J7</f>
        <v>58200</v>
      </c>
      <c r="L7" s="29"/>
    </row>
    <row r="8" spans="1:12" ht="24.95" customHeight="1" x14ac:dyDescent="0.25">
      <c r="A8" s="10">
        <v>2</v>
      </c>
      <c r="B8" s="36" t="s">
        <v>36</v>
      </c>
      <c r="C8" s="4" t="s">
        <v>40</v>
      </c>
      <c r="D8" s="5">
        <f t="shared" ref="D8:D10" si="0">F8/E8</f>
        <v>1153.8461538461538</v>
      </c>
      <c r="E8" s="4">
        <v>26</v>
      </c>
      <c r="F8" s="4">
        <v>30000</v>
      </c>
      <c r="G8" s="4">
        <f t="shared" ref="G8:G10" si="1">SUM(F8:F8)</f>
        <v>30000</v>
      </c>
      <c r="H8" s="4">
        <v>1800</v>
      </c>
      <c r="I8" s="4">
        <v>0</v>
      </c>
      <c r="J8" s="4">
        <f t="shared" ref="J8:J10" si="2">SUM(H8:I8)</f>
        <v>1800</v>
      </c>
      <c r="K8" s="11">
        <f t="shared" ref="K8:K10" si="3">G8-J8</f>
        <v>28200</v>
      </c>
      <c r="L8" s="30"/>
    </row>
    <row r="9" spans="1:12" ht="24.95" customHeight="1" x14ac:dyDescent="0.25">
      <c r="A9" s="10">
        <v>3</v>
      </c>
      <c r="B9" s="36" t="s">
        <v>37</v>
      </c>
      <c r="C9" s="4" t="s">
        <v>40</v>
      </c>
      <c r="D9" s="5">
        <f t="shared" si="0"/>
        <v>1153.8461538461538</v>
      </c>
      <c r="E9" s="4">
        <v>26</v>
      </c>
      <c r="F9" s="4">
        <v>30000</v>
      </c>
      <c r="G9" s="4">
        <f t="shared" si="1"/>
        <v>30000</v>
      </c>
      <c r="H9" s="4">
        <v>1800</v>
      </c>
      <c r="I9" s="4">
        <v>0</v>
      </c>
      <c r="J9" s="4">
        <f t="shared" si="2"/>
        <v>1800</v>
      </c>
      <c r="K9" s="11">
        <f t="shared" si="3"/>
        <v>28200</v>
      </c>
      <c r="L9" s="30"/>
    </row>
    <row r="10" spans="1:12" ht="24.95" customHeight="1" x14ac:dyDescent="0.25">
      <c r="A10" s="10">
        <v>4</v>
      </c>
      <c r="B10" s="37" t="s">
        <v>38</v>
      </c>
      <c r="C10" s="4" t="s">
        <v>27</v>
      </c>
      <c r="D10" s="5">
        <f t="shared" si="0"/>
        <v>692.30769230769226</v>
      </c>
      <c r="E10" s="4">
        <v>26</v>
      </c>
      <c r="F10" s="4">
        <v>18000</v>
      </c>
      <c r="G10" s="4">
        <f t="shared" si="1"/>
        <v>18000</v>
      </c>
      <c r="H10" s="4">
        <v>1800</v>
      </c>
      <c r="I10" s="4">
        <v>135</v>
      </c>
      <c r="J10" s="4">
        <f t="shared" si="2"/>
        <v>1935</v>
      </c>
      <c r="K10" s="11">
        <f t="shared" si="3"/>
        <v>16065</v>
      </c>
      <c r="L10" s="30"/>
    </row>
    <row r="11" spans="1:12" ht="24.95" customHeight="1" x14ac:dyDescent="0.25">
      <c r="A11" s="10">
        <v>5</v>
      </c>
      <c r="B11" s="37" t="s">
        <v>39</v>
      </c>
      <c r="C11" s="4" t="s">
        <v>41</v>
      </c>
      <c r="D11" s="5">
        <f>F11/E11</f>
        <v>2307.6923076923076</v>
      </c>
      <c r="E11" s="4">
        <v>26</v>
      </c>
      <c r="F11" s="4">
        <v>60000</v>
      </c>
      <c r="G11" s="4">
        <f>SUM(F11:F11)</f>
        <v>60000</v>
      </c>
      <c r="H11" s="4">
        <v>1800</v>
      </c>
      <c r="I11" s="4">
        <v>0</v>
      </c>
      <c r="J11" s="4">
        <f>SUM(H11:I11)</f>
        <v>1800</v>
      </c>
      <c r="K11" s="11">
        <f>G11-J11</f>
        <v>58200</v>
      </c>
      <c r="L11" s="32"/>
    </row>
    <row r="12" spans="1:12" ht="24.95" customHeight="1" thickBot="1" x14ac:dyDescent="0.3">
      <c r="A12" s="23">
        <v>6</v>
      </c>
      <c r="B12" s="17" t="s">
        <v>42</v>
      </c>
      <c r="C12" s="12" t="s">
        <v>41</v>
      </c>
      <c r="D12" s="13">
        <f>F12/E12</f>
        <v>1923.0769230769231</v>
      </c>
      <c r="E12" s="12">
        <v>26</v>
      </c>
      <c r="F12" s="17">
        <v>50000</v>
      </c>
      <c r="G12" s="17">
        <v>50000</v>
      </c>
      <c r="H12" s="17">
        <v>1800</v>
      </c>
      <c r="I12" s="17">
        <v>0</v>
      </c>
      <c r="J12" s="17">
        <f>SUM(H12:I12)</f>
        <v>1800</v>
      </c>
      <c r="K12" s="14">
        <f>G12-J12</f>
        <v>48200</v>
      </c>
      <c r="L12" s="31"/>
    </row>
  </sheetData>
  <mergeCells count="17">
    <mergeCell ref="A1:L1"/>
    <mergeCell ref="A2:L2"/>
    <mergeCell ref="A3:E3"/>
    <mergeCell ref="F3:L3"/>
    <mergeCell ref="A4:F4"/>
    <mergeCell ref="H4:I4"/>
    <mergeCell ref="K4:L4"/>
    <mergeCell ref="G5:G6"/>
    <mergeCell ref="H5:J5"/>
    <mergeCell ref="K5:K6"/>
    <mergeCell ref="L5:L6"/>
    <mergeCell ref="A5:A6"/>
    <mergeCell ref="B5:B6"/>
    <mergeCell ref="C5:C6"/>
    <mergeCell ref="D5:D6"/>
    <mergeCell ref="E5:E6"/>
    <mergeCell ref="F5:F6"/>
  </mergeCells>
  <pageMargins left="0.51181102362204722" right="0" top="0.74803149606299213" bottom="0.74803149606299213" header="0.31496062992125984" footer="0.31496062992125984"/>
  <pageSetup paperSize="9" scale="70" orientation="landscape" r:id="rId1"/>
  <ignoredErrors>
    <ignoredError sqref="J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ATTENDANCE-MAY</vt:lpstr>
      <vt:lpstr>WAGES-MAY</vt:lpstr>
      <vt:lpstr>'ATTENDANCE-MAY'!Print_Area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hasib</dc:creator>
  <cp:lastModifiedBy>HN ENTERPRISES</cp:lastModifiedBy>
  <cp:lastPrinted>2026-06-15T02:10:52Z</cp:lastPrinted>
  <dcterms:created xsi:type="dcterms:W3CDTF">2015-06-05T18:17:20Z</dcterms:created>
  <dcterms:modified xsi:type="dcterms:W3CDTF">2026-06-15T02:51:15Z</dcterms:modified>
</cp:coreProperties>
</file>